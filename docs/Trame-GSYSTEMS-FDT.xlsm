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systems Johanna\Dropbox\GSYSTEMS\Affichage numérique GSYSTEMS partagé\!! GSYSTEMS - Pack nouveaux collaborateurs !!\"/>
    </mc:Choice>
  </mc:AlternateContent>
  <xr:revisionPtr revIDLastSave="0" documentId="13_ncr:1_{B4A13B6B-96DB-4BA1-B213-BE8EAFD71B4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DT" sheetId="1" r:id="rId1"/>
    <sheet name="S00" sheetId="3" r:id="rId2"/>
  </sheets>
  <externalReferences>
    <externalReference r:id="rId3"/>
  </externalReferences>
  <definedNames>
    <definedName name="année">'[1] '!$Q$2:$Q$22</definedName>
    <definedName name="Z_6568310D_4985_44D7_8B80_790A16C95296_.wvu.PrintArea" localSheetId="0" hidden="1">FDT!$A$1:$D$23</definedName>
    <definedName name="Z_6568310D_4985_44D7_8B80_790A16C95296_.wvu.PrintArea" localSheetId="1" hidden="1">S00!$A$1:$H$39</definedName>
    <definedName name="_xlnm.Print_Area" localSheetId="0">FDT!$A$1:$D$23</definedName>
    <definedName name="_xlnm.Print_Area" localSheetId="1">S00!$A$1:$H$39</definedName>
  </definedNames>
  <calcPr calcId="191028"/>
  <customWorkbookViews>
    <customWorkbookView name="Biweb - Affichage personnalisé" guid="{6568310D-4985-44D7-8B80-790A16C95296}" mergeInterval="0" personalView="1" maximized="1" xWindow="-8" yWindow="-8" windowWidth="1382" windowHeight="744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3" l="1"/>
  <c r="A12" i="3" s="1"/>
  <c r="A16" i="3" s="1"/>
  <c r="A20" i="3" s="1"/>
  <c r="A24" i="3" s="1"/>
  <c r="A28" i="3" s="1"/>
  <c r="A32" i="3" s="1"/>
  <c r="B37" i="3"/>
  <c r="H4" i="3"/>
  <c r="H5" i="3"/>
  <c r="H2" i="3"/>
  <c r="H1" i="3"/>
  <c r="G34" i="3"/>
  <c r="F34" i="3"/>
  <c r="E34" i="3"/>
  <c r="D5" i="3" l="1"/>
</calcChain>
</file>

<file path=xl/sharedStrings.xml><?xml version="1.0" encoding="utf-8"?>
<sst xmlns="http://schemas.openxmlformats.org/spreadsheetml/2006/main" count="93" uniqueCount="88">
  <si>
    <t>FICHE</t>
  </si>
  <si>
    <t>LIEU DE RATTACHEMENT :</t>
  </si>
  <si>
    <t>VEHICULE G SYSTEMS :</t>
  </si>
  <si>
    <t>NOM :</t>
  </si>
  <si>
    <t>au :</t>
  </si>
  <si>
    <t>Jours</t>
  </si>
  <si>
    <t>Heures</t>
  </si>
  <si>
    <t>FRAIS DE TRANSPORT</t>
  </si>
  <si>
    <t>LUNDI</t>
  </si>
  <si>
    <t>MARDI</t>
  </si>
  <si>
    <t>MERCREDI</t>
  </si>
  <si>
    <t>JEUDI</t>
  </si>
  <si>
    <t>VENDREDI</t>
  </si>
  <si>
    <t>SAMEDI</t>
  </si>
  <si>
    <t>TOTAL</t>
  </si>
  <si>
    <t>Nom et signature du Personnel :</t>
  </si>
  <si>
    <t>Nom et signature du Responsable d'Etablissement :</t>
  </si>
  <si>
    <t xml:space="preserve">dont TVA </t>
  </si>
  <si>
    <t>PRENOM :</t>
  </si>
  <si>
    <t>ANNEE :</t>
  </si>
  <si>
    <t>VEUILLEZ REMPLIR VOS INFORMATIONS PERSONNELLES</t>
  </si>
  <si>
    <t>SEMAINE N°</t>
  </si>
  <si>
    <t>Département</t>
  </si>
  <si>
    <t>Montant TTC</t>
  </si>
  <si>
    <t xml:space="preserve">du :  </t>
  </si>
  <si>
    <t>IMMATRICULATION VEHICULE :</t>
  </si>
  <si>
    <t>Péage - Parking - Gasoil - Quincaillerie</t>
  </si>
  <si>
    <t>HEBDOMADAIRE</t>
  </si>
  <si>
    <r>
      <t xml:space="preserve">OBSERVATIONS
</t>
    </r>
    <r>
      <rPr>
        <sz val="10"/>
        <color rgb="FFFF0000"/>
        <rFont val="Arial"/>
        <family val="2"/>
      </rPr>
      <t>Si Mission Non Réalisée, mettre la cause : 
Commerciale - Technique - Client absent</t>
    </r>
  </si>
  <si>
    <t>Numéros de semaine</t>
  </si>
  <si>
    <t>à partir de</t>
  </si>
  <si>
    <t>au date</t>
  </si>
  <si>
    <t>semaine 52, 2019</t>
  </si>
  <si>
    <t>semaine 01</t>
  </si>
  <si>
    <t>semaine 02</t>
  </si>
  <si>
    <t>semaine 03</t>
  </si>
  <si>
    <t>semaine 04</t>
  </si>
  <si>
    <t>semaine 05</t>
  </si>
  <si>
    <t>semaine 06</t>
  </si>
  <si>
    <t>semaine 07</t>
  </si>
  <si>
    <t>semaine 08</t>
  </si>
  <si>
    <t>semaine 09</t>
  </si>
  <si>
    <t>semaine 10</t>
  </si>
  <si>
    <t>semaine 11</t>
  </si>
  <si>
    <t>semaine 12</t>
  </si>
  <si>
    <t>semaine 13</t>
  </si>
  <si>
    <t>semaine 14</t>
  </si>
  <si>
    <t>semaine 15</t>
  </si>
  <si>
    <t>semaine 16</t>
  </si>
  <si>
    <t>semaine 17</t>
  </si>
  <si>
    <t>semaine 18</t>
  </si>
  <si>
    <t>semaine 19</t>
  </si>
  <si>
    <t>semaine 20</t>
  </si>
  <si>
    <t>semaine 21</t>
  </si>
  <si>
    <t>semaine 22</t>
  </si>
  <si>
    <t>semaine 23</t>
  </si>
  <si>
    <t>semaine 24</t>
  </si>
  <si>
    <t>semaine 25</t>
  </si>
  <si>
    <t>semaine 26</t>
  </si>
  <si>
    <t>semaine 27</t>
  </si>
  <si>
    <t>semaine 28</t>
  </si>
  <si>
    <t>semaine 29</t>
  </si>
  <si>
    <t>semaine 30</t>
  </si>
  <si>
    <t>semaine 31</t>
  </si>
  <si>
    <t>semaine 32</t>
  </si>
  <si>
    <t>semaine 33</t>
  </si>
  <si>
    <t>semaine 34</t>
  </si>
  <si>
    <t>semaine 35</t>
  </si>
  <si>
    <t>semaine 36</t>
  </si>
  <si>
    <t>semaine 37</t>
  </si>
  <si>
    <t>semaine 38</t>
  </si>
  <si>
    <t>semaine 39</t>
  </si>
  <si>
    <t>semaine 40</t>
  </si>
  <si>
    <t>semaine 41</t>
  </si>
  <si>
    <t>semaine 42</t>
  </si>
  <si>
    <t>semaine 43</t>
  </si>
  <si>
    <t>semaine 44</t>
  </si>
  <si>
    <t>semaine 45</t>
  </si>
  <si>
    <t>semaine 46</t>
  </si>
  <si>
    <t>semaine 47</t>
  </si>
  <si>
    <t>semaine 48</t>
  </si>
  <si>
    <t>semaine 49</t>
  </si>
  <si>
    <t>semaine 50</t>
  </si>
  <si>
    <t>semaine 51</t>
  </si>
  <si>
    <t>semaine 52</t>
  </si>
  <si>
    <t>semaine 53</t>
  </si>
  <si>
    <t>semaine 01, 2021</t>
  </si>
  <si>
    <t xml:space="preserve">Localité 
+ Type de Mission (SAV ou installation) 
+ Nom du client (EPS, P24…)	
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</si>
</sst>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&quot;€&quot;#,##0.00_);[Red]\(&quot;€&quot;#,##0.00\)"/>
    <numFmt numFmtId="166" formatCode="_(&quot;€&quot;* #,##0.00_);_(&quot;€&quot;* \(#,##0.00\);_(&quot;€&quot;* &quot;-&quot;??_);_(@_)"/>
    <numFmt numFmtId="167" formatCode="[$-F800]dddd\,\ mmmm\ dd\,\ yyyy"/>
    <numFmt numFmtId="168" formatCode="dd/mm/yy;@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6"/>
      <name val="Arial"/>
      <family val="2"/>
    </font>
    <font>
      <i/>
      <sz val="8"/>
      <name val="Arial"/>
      <family val="2"/>
    </font>
    <font>
      <i/>
      <u/>
      <sz val="8"/>
      <name val="Arial"/>
      <family val="2"/>
    </font>
    <font>
      <sz val="16"/>
      <name val="Arial"/>
      <family val="2"/>
    </font>
    <font>
      <sz val="12"/>
      <name val="Arial"/>
      <family val="2"/>
    </font>
    <font>
      <i/>
      <u/>
      <sz val="12"/>
      <name val="Arial"/>
      <family val="2"/>
    </font>
    <font>
      <i/>
      <sz val="12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i/>
      <sz val="12"/>
      <color rgb="FFFF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727272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6" fontId="1" fillId="0" borderId="0" applyFont="0" applyFill="0" applyBorder="0" applyAlignment="0" applyProtection="0"/>
  </cellStyleXfs>
  <cellXfs count="112">
    <xf numFmtId="0" fontId="0" fillId="0" borderId="0" xfId="0"/>
    <xf numFmtId="0" fontId="3" fillId="0" borderId="0" xfId="1" applyFont="1" applyAlignment="1">
      <alignment horizontal="left" vertical="center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0" xfId="1" applyFont="1" applyAlignment="1">
      <alignment horizontal="right" vertical="center"/>
    </xf>
    <xf numFmtId="2" fontId="6" fillId="0" borderId="0" xfId="1" applyNumberFormat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6" xfId="1" applyFont="1" applyBorder="1" applyAlignment="1">
      <alignment horizontal="left" vertical="center"/>
    </xf>
    <xf numFmtId="0" fontId="6" fillId="0" borderId="10" xfId="1" applyFont="1" applyBorder="1" applyAlignment="1">
      <alignment vertical="center"/>
    </xf>
    <xf numFmtId="0" fontId="6" fillId="0" borderId="10" xfId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" fillId="0" borderId="0" xfId="1"/>
    <xf numFmtId="0" fontId="1" fillId="0" borderId="0" xfId="1" applyAlignment="1">
      <alignment vertical="center"/>
    </xf>
    <xf numFmtId="0" fontId="0" fillId="0" borderId="0" xfId="0" applyAlignment="1">
      <alignment horizontal="center"/>
    </xf>
    <xf numFmtId="0" fontId="9" fillId="2" borderId="0" xfId="0" applyFont="1" applyFill="1" applyAlignment="1">
      <alignment vertical="center"/>
    </xf>
    <xf numFmtId="0" fontId="9" fillId="2" borderId="0" xfId="0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10" fillId="0" borderId="0" xfId="0" applyFont="1"/>
    <xf numFmtId="14" fontId="2" fillId="0" borderId="17" xfId="1" applyNumberFormat="1" applyFont="1" applyBorder="1" applyAlignment="1" applyProtection="1">
      <alignment horizontal="center" vertical="center"/>
      <protection hidden="1"/>
    </xf>
    <xf numFmtId="0" fontId="1" fillId="3" borderId="11" xfId="1" applyFill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1" fillId="0" borderId="21" xfId="1" applyBorder="1" applyAlignment="1" applyProtection="1">
      <alignment horizontal="center" vertical="center"/>
      <protection locked="0"/>
    </xf>
    <xf numFmtId="2" fontId="1" fillId="0" borderId="21" xfId="1" applyNumberFormat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2" fontId="1" fillId="0" borderId="3" xfId="1" applyNumberFormat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2" fontId="1" fillId="0" borderId="22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165" fontId="1" fillId="0" borderId="22" xfId="1" applyNumberFormat="1" applyBorder="1" applyAlignment="1">
      <alignment horizontal="center" vertical="center"/>
    </xf>
    <xf numFmtId="164" fontId="1" fillId="3" borderId="11" xfId="2" applyNumberFormat="1" applyFont="1" applyFill="1" applyBorder="1" applyAlignment="1">
      <alignment horizontal="center" vertical="center"/>
    </xf>
    <xf numFmtId="14" fontId="2" fillId="0" borderId="18" xfId="1" applyNumberFormat="1" applyFont="1" applyBorder="1" applyAlignment="1" applyProtection="1">
      <alignment horizontal="center" vertical="center"/>
      <protection hidden="1"/>
    </xf>
    <xf numFmtId="0" fontId="7" fillId="0" borderId="10" xfId="1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9" fillId="2" borderId="29" xfId="0" applyFont="1" applyFill="1" applyBorder="1" applyAlignment="1">
      <alignment vertical="center"/>
    </xf>
    <xf numFmtId="0" fontId="9" fillId="0" borderId="29" xfId="0" applyFont="1" applyBorder="1" applyAlignment="1">
      <alignment horizontal="center" vertical="center"/>
    </xf>
    <xf numFmtId="0" fontId="6" fillId="2" borderId="10" xfId="1" applyFont="1" applyFill="1" applyBorder="1" applyAlignment="1">
      <alignment vertical="center"/>
    </xf>
    <xf numFmtId="0" fontId="9" fillId="0" borderId="10" xfId="0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0" borderId="0" xfId="1" applyFont="1" applyAlignment="1">
      <alignment horizontal="left" vertical="top"/>
    </xf>
    <xf numFmtId="0" fontId="1" fillId="0" borderId="0" xfId="1" applyAlignment="1">
      <alignment horizontal="right"/>
    </xf>
    <xf numFmtId="0" fontId="1" fillId="0" borderId="0" xfId="1" applyAlignment="1">
      <alignment horizontal="right" vertical="center"/>
    </xf>
    <xf numFmtId="0" fontId="2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2" fillId="0" borderId="0" xfId="1" applyFont="1" applyAlignment="1">
      <alignment horizontal="center" vertical="center"/>
    </xf>
    <xf numFmtId="0" fontId="1" fillId="0" borderId="1" xfId="1" applyBorder="1" applyAlignment="1">
      <alignment horizontal="right" vertical="center"/>
    </xf>
    <xf numFmtId="0" fontId="6" fillId="0" borderId="0" xfId="1" applyFont="1"/>
    <xf numFmtId="0" fontId="7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6" fillId="2" borderId="0" xfId="1" applyFont="1" applyFill="1" applyAlignment="1">
      <alignment horizontal="left" vertical="center"/>
    </xf>
    <xf numFmtId="0" fontId="1" fillId="0" borderId="18" xfId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5" fontId="15" fillId="0" borderId="0" xfId="0" applyNumberFormat="1" applyFont="1" applyAlignment="1">
      <alignment horizontal="center" vertical="center" wrapText="1"/>
    </xf>
    <xf numFmtId="15" fontId="13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9" fillId="0" borderId="7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2" fillId="0" borderId="0" xfId="1" applyFont="1" applyAlignment="1">
      <alignment horizontal="center" vertical="center"/>
    </xf>
    <xf numFmtId="0" fontId="6" fillId="0" borderId="12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6" fillId="0" borderId="14" xfId="1" applyFont="1" applyBorder="1" applyAlignment="1">
      <alignment horizontal="center"/>
    </xf>
    <xf numFmtId="0" fontId="6" fillId="0" borderId="15" xfId="1" applyFont="1" applyBorder="1" applyAlignment="1">
      <alignment horizont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14" xfId="1" applyFont="1" applyBorder="1" applyAlignment="1">
      <alignment horizontal="center" vertical="center" wrapText="1"/>
    </xf>
    <xf numFmtId="0" fontId="5" fillId="0" borderId="15" xfId="1" applyFont="1" applyBorder="1" applyAlignment="1">
      <alignment horizontal="center" vertical="center" wrapText="1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24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1" fillId="0" borderId="26" xfId="1" applyBorder="1" applyAlignment="1">
      <alignment horizontal="center" vertical="center"/>
    </xf>
    <xf numFmtId="0" fontId="1" fillId="0" borderId="27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1" fillId="0" borderId="20" xfId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1" fillId="0" borderId="19" xfId="1" applyBorder="1" applyAlignment="1">
      <alignment horizontal="center" vertical="center" wrapText="1"/>
    </xf>
    <xf numFmtId="0" fontId="1" fillId="0" borderId="0" xfId="1" applyAlignment="1">
      <alignment horizontal="center" vertical="center"/>
    </xf>
    <xf numFmtId="0" fontId="1" fillId="0" borderId="19" xfId="1" applyBorder="1" applyAlignment="1">
      <alignment horizontal="center"/>
    </xf>
    <xf numFmtId="0" fontId="1" fillId="0" borderId="2" xfId="1" applyBorder="1" applyAlignment="1">
      <alignment horizontal="center"/>
    </xf>
    <xf numFmtId="0" fontId="2" fillId="0" borderId="18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1" fillId="0" borderId="12" xfId="1" applyBorder="1" applyAlignment="1">
      <alignment horizontal="center" vertical="center" wrapText="1"/>
    </xf>
    <xf numFmtId="0" fontId="1" fillId="0" borderId="4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  <xf numFmtId="0" fontId="1" fillId="0" borderId="15" xfId="1" applyBorder="1" applyAlignment="1">
      <alignment horizontal="center" vertical="center"/>
    </xf>
    <xf numFmtId="167" fontId="1" fillId="0" borderId="19" xfId="1" applyNumberFormat="1" applyBorder="1" applyAlignment="1">
      <alignment horizontal="center"/>
    </xf>
    <xf numFmtId="167" fontId="1" fillId="0" borderId="2" xfId="1" applyNumberFormat="1" applyBorder="1" applyAlignment="1">
      <alignment horizontal="center"/>
    </xf>
    <xf numFmtId="168" fontId="1" fillId="0" borderId="2" xfId="1" applyNumberFormat="1" applyBorder="1" applyAlignment="1">
      <alignment horizontal="center" vertical="top"/>
    </xf>
    <xf numFmtId="168" fontId="1" fillId="0" borderId="20" xfId="1" applyNumberFormat="1" applyBorder="1" applyAlignment="1">
      <alignment horizontal="center" vertical="top"/>
    </xf>
    <xf numFmtId="0" fontId="1" fillId="0" borderId="20" xfId="1" applyBorder="1" applyAlignment="1">
      <alignment horizontal="center" vertical="top"/>
    </xf>
    <xf numFmtId="0" fontId="1" fillId="0" borderId="12" xfId="1" applyBorder="1" applyAlignment="1" applyProtection="1">
      <alignment horizontal="center"/>
      <protection locked="0"/>
    </xf>
    <xf numFmtId="0" fontId="1" fillId="0" borderId="13" xfId="1" applyBorder="1" applyAlignment="1" applyProtection="1">
      <alignment horizontal="center"/>
      <protection locked="0"/>
    </xf>
    <xf numFmtId="0" fontId="1" fillId="0" borderId="14" xfId="1" applyBorder="1" applyAlignment="1" applyProtection="1">
      <alignment horizontal="center"/>
      <protection locked="0"/>
    </xf>
    <xf numFmtId="0" fontId="1" fillId="0" borderId="15" xfId="1" applyBorder="1" applyAlignment="1" applyProtection="1">
      <alignment horizontal="center"/>
      <protection locked="0"/>
    </xf>
    <xf numFmtId="0" fontId="5" fillId="0" borderId="12" xfId="1" applyFont="1" applyBorder="1" applyAlignment="1">
      <alignment horizontal="center" wrapText="1"/>
    </xf>
    <xf numFmtId="0" fontId="5" fillId="0" borderId="28" xfId="1" applyFont="1" applyBorder="1" applyAlignment="1">
      <alignment horizontal="center" wrapText="1"/>
    </xf>
    <xf numFmtId="0" fontId="5" fillId="0" borderId="13" xfId="1" applyFont="1" applyBorder="1" applyAlignment="1">
      <alignment horizontal="center" wrapText="1"/>
    </xf>
    <xf numFmtId="0" fontId="5" fillId="0" borderId="14" xfId="1" applyFont="1" applyBorder="1" applyAlignment="1">
      <alignment horizontal="center" wrapText="1"/>
    </xf>
    <xf numFmtId="0" fontId="5" fillId="0" borderId="30" xfId="1" applyFont="1" applyBorder="1" applyAlignment="1">
      <alignment horizontal="center" wrapText="1"/>
    </xf>
    <xf numFmtId="0" fontId="5" fillId="0" borderId="15" xfId="1" applyFont="1" applyBorder="1" applyAlignment="1">
      <alignment horizontal="center" wrapText="1"/>
    </xf>
    <xf numFmtId="0" fontId="4" fillId="0" borderId="0" xfId="1" applyFont="1" applyAlignment="1">
      <alignment horizontal="left" vertical="top"/>
    </xf>
    <xf numFmtId="49" fontId="0" fillId="0" borderId="0" xfId="0" applyNumberFormat="1" applyAlignment="1">
      <alignment horizontal="center" vertical="top" wrapText="1"/>
    </xf>
  </cellXfs>
  <cellStyles count="3">
    <cellStyle name="Euro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1028139</xdr:colOff>
      <xdr:row>0</xdr:row>
      <xdr:rowOff>27744</xdr:rowOff>
    </xdr:from>
    <xdr:to>
      <xdr:col>1</xdr:col>
      <xdr:colOff>593799</xdr:colOff>
      <xdr:row>1</xdr:row>
      <xdr:rowOff>255930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139" y="27744"/>
          <a:ext cx="1189051" cy="4932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20</xdr:row>
          <xdr:rowOff>28575</xdr:rowOff>
        </xdr:from>
        <xdr:to>
          <xdr:col>3</xdr:col>
          <xdr:colOff>1552575</xdr:colOff>
          <xdr:row>22</xdr:row>
          <xdr:rowOff>142875</xdr:rowOff>
        </xdr:to>
        <xdr:sp macro="" textlink="">
          <xdr:nvSpPr>
            <xdr:cNvPr id="5124" name="Button 4" descr="VALIDER POUR CREER VOS FD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VALIDER POUR CRÉER VOS FEUILLES DE TEMPS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1562100</xdr:colOff>
          <xdr:row>14</xdr:row>
          <xdr:rowOff>171450</xdr:rowOff>
        </xdr:from>
        <xdr:to>
          <xdr:col>1</xdr:col>
          <xdr:colOff>1457325</xdr:colOff>
          <xdr:row>20</xdr:row>
          <xdr:rowOff>9525</xdr:rowOff>
        </xdr:to>
        <xdr:sp macro="" textlink="">
          <xdr:nvSpPr>
            <xdr:cNvPr id="5129" name="Button 9" descr="Signature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Selectionner un image pour signer vos fiches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380439</xdr:colOff>
      <xdr:row>0</xdr:row>
      <xdr:rowOff>19050</xdr:rowOff>
    </xdr:from>
    <xdr:to>
      <xdr:col>1</xdr:col>
      <xdr:colOff>593799</xdr:colOff>
      <xdr:row>1</xdr:row>
      <xdr:rowOff>247650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439" y="19050"/>
          <a:ext cx="118491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web/AppData/Local/Microsoft/Windows/INetCache/IE/ZMMEBM5K/Semaine%20Jou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</sheetNames>
    <sheetDataSet>
      <sheetData sheetId="0">
        <row r="2">
          <cell r="Q2">
            <v>2010</v>
          </cell>
        </row>
        <row r="3">
          <cell r="Q3">
            <v>2011</v>
          </cell>
        </row>
        <row r="4">
          <cell r="Q4">
            <v>2012</v>
          </cell>
        </row>
        <row r="5">
          <cell r="Q5">
            <v>2013</v>
          </cell>
        </row>
        <row r="6">
          <cell r="Q6">
            <v>2014</v>
          </cell>
        </row>
        <row r="7">
          <cell r="Q7">
            <v>2015</v>
          </cell>
        </row>
        <row r="8">
          <cell r="Q8">
            <v>2016</v>
          </cell>
        </row>
        <row r="9">
          <cell r="Q9">
            <v>2017</v>
          </cell>
        </row>
        <row r="10">
          <cell r="Q10">
            <v>2018</v>
          </cell>
        </row>
        <row r="11">
          <cell r="Q11">
            <v>2019</v>
          </cell>
        </row>
        <row r="12">
          <cell r="Q12">
            <v>2020</v>
          </cell>
        </row>
        <row r="13">
          <cell r="Q13">
            <v>2021</v>
          </cell>
        </row>
        <row r="14">
          <cell r="Q14">
            <v>2022</v>
          </cell>
        </row>
        <row r="15">
          <cell r="Q15">
            <v>2023</v>
          </cell>
        </row>
        <row r="16">
          <cell r="Q16">
            <v>2024</v>
          </cell>
        </row>
        <row r="17">
          <cell r="Q17">
            <v>2025</v>
          </cell>
        </row>
        <row r="18">
          <cell r="Q18">
            <v>2026</v>
          </cell>
        </row>
        <row r="19">
          <cell r="Q19">
            <v>2027</v>
          </cell>
        </row>
        <row r="20">
          <cell r="Q20">
            <v>2028</v>
          </cell>
        </row>
        <row r="21">
          <cell r="Q21">
            <v>2029</v>
          </cell>
        </row>
        <row r="22">
          <cell r="Q22">
            <v>2030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autoPageBreaks="0"/>
  </sheetPr>
  <dimension ref="A1:U59"/>
  <sheetViews>
    <sheetView showGridLines="0" tabSelected="1" view="pageBreakPreview" zoomScaleNormal="100" zoomScaleSheetLayoutView="100" workbookViewId="0">
      <selection activeCell="C7" sqref="C7"/>
    </sheetView>
  </sheetViews>
  <sheetFormatPr baseColWidth="10" defaultColWidth="11.42578125" defaultRowHeight="15" x14ac:dyDescent="0.25"/>
  <cols>
    <col min="1" max="1" width="24.28515625" style="38" customWidth="1"/>
    <col min="2" max="2" width="22.7109375" style="7" customWidth="1"/>
    <col min="3" max="3" width="24.5703125" style="50" customWidth="1"/>
    <col min="4" max="4" width="25.7109375" style="7" customWidth="1"/>
    <col min="5" max="5" width="12.7109375" style="7" customWidth="1"/>
    <col min="6" max="15" width="11.42578125" style="7"/>
    <col min="16" max="16" width="23.5703125" style="7" hidden="1" customWidth="1"/>
    <col min="17" max="17" width="17.28515625" style="7" hidden="1" customWidth="1"/>
    <col min="18" max="18" width="18" style="7" hidden="1" customWidth="1"/>
    <col min="19" max="16384" width="11.42578125" style="7"/>
  </cols>
  <sheetData>
    <row r="1" spans="1:21" s="36" customFormat="1" ht="21" customHeight="1" x14ac:dyDescent="0.25">
      <c r="A1" s="63"/>
      <c r="B1" s="64"/>
      <c r="C1" s="67" t="s">
        <v>0</v>
      </c>
      <c r="D1" s="68"/>
      <c r="E1" s="35"/>
      <c r="F1" s="35"/>
      <c r="G1" s="35"/>
      <c r="H1" s="35"/>
      <c r="I1" s="35"/>
      <c r="J1" s="35"/>
      <c r="K1" s="35"/>
      <c r="L1" s="35"/>
      <c r="M1" s="35"/>
    </row>
    <row r="2" spans="1:21" ht="21" customHeight="1" x14ac:dyDescent="0.25">
      <c r="A2" s="65"/>
      <c r="B2" s="66"/>
      <c r="C2" s="69" t="s">
        <v>27</v>
      </c>
      <c r="D2" s="70"/>
      <c r="E2" s="15"/>
      <c r="F2" s="15"/>
      <c r="G2" s="15"/>
      <c r="H2" s="15"/>
      <c r="I2" s="15"/>
      <c r="J2" s="15"/>
      <c r="K2" s="15"/>
      <c r="L2" s="15"/>
      <c r="M2" s="15"/>
    </row>
    <row r="3" spans="1:21" ht="12.75" customHeight="1" x14ac:dyDescent="0.2">
      <c r="A3" s="47"/>
      <c r="B3" s="3"/>
      <c r="C3" s="49"/>
      <c r="D3" s="47"/>
      <c r="E3" s="15"/>
      <c r="F3" s="15"/>
      <c r="G3" s="15"/>
      <c r="H3" s="15"/>
      <c r="I3" s="15"/>
      <c r="J3" s="15"/>
      <c r="K3" s="15"/>
      <c r="L3" s="15"/>
      <c r="M3" s="15"/>
    </row>
    <row r="4" spans="1:21" ht="15" customHeight="1" x14ac:dyDescent="0.25">
      <c r="A4" s="62" t="s">
        <v>20</v>
      </c>
      <c r="B4" s="62"/>
      <c r="C4" s="62"/>
      <c r="D4" s="62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54" t="s">
        <v>29</v>
      </c>
      <c r="Q4" s="54" t="s">
        <v>30</v>
      </c>
      <c r="R4" s="54" t="s">
        <v>31</v>
      </c>
      <c r="S4" s="54"/>
      <c r="T4" s="54"/>
      <c r="U4" s="54"/>
    </row>
    <row r="5" spans="1:21" s="3" customFormat="1" ht="12" customHeight="1" x14ac:dyDescent="0.25">
      <c r="C5" s="53"/>
      <c r="D5" s="7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57" t="s">
        <v>32</v>
      </c>
      <c r="Q5" s="55">
        <v>43822</v>
      </c>
      <c r="R5" s="55">
        <v>43828</v>
      </c>
      <c r="S5" s="57"/>
      <c r="T5" s="55"/>
      <c r="U5" s="55"/>
    </row>
    <row r="6" spans="1:21" s="3" customFormat="1" ht="12" customHeight="1" x14ac:dyDescent="0.25">
      <c r="A6" s="48"/>
      <c r="B6" s="4" t="s">
        <v>19</v>
      </c>
      <c r="C6" s="8">
        <v>2025</v>
      </c>
      <c r="D6" s="7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58" t="s">
        <v>33</v>
      </c>
      <c r="Q6" s="56">
        <v>43829</v>
      </c>
      <c r="R6" s="56">
        <v>43835</v>
      </c>
      <c r="S6" s="58"/>
      <c r="T6" s="56"/>
      <c r="U6" s="56"/>
    </row>
    <row r="7" spans="1:21" ht="12.75" customHeight="1" x14ac:dyDescent="0.25">
      <c r="A7" s="3"/>
      <c r="B7" s="4"/>
      <c r="C7" s="53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58" t="s">
        <v>34</v>
      </c>
      <c r="Q7" s="56">
        <v>43836</v>
      </c>
      <c r="R7" s="56">
        <v>43842</v>
      </c>
      <c r="S7" s="58"/>
      <c r="T7" s="56"/>
      <c r="U7" s="56"/>
    </row>
    <row r="8" spans="1:21" ht="12.75" customHeight="1" x14ac:dyDescent="0.25">
      <c r="A8" s="2"/>
      <c r="B8" s="4" t="s">
        <v>1</v>
      </c>
      <c r="C8" s="8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58" t="s">
        <v>35</v>
      </c>
      <c r="Q8" s="56">
        <v>43843</v>
      </c>
      <c r="R8" s="56">
        <v>43849</v>
      </c>
      <c r="S8" s="58"/>
      <c r="T8" s="56"/>
      <c r="U8" s="56"/>
    </row>
    <row r="9" spans="1:21" ht="12.75" customHeight="1" x14ac:dyDescent="0.25">
      <c r="A9" s="2"/>
      <c r="B9" s="4"/>
      <c r="C9" s="49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58" t="s">
        <v>36</v>
      </c>
      <c r="Q9" s="56">
        <v>43850</v>
      </c>
      <c r="R9" s="56">
        <v>43856</v>
      </c>
      <c r="S9" s="58"/>
      <c r="T9" s="56"/>
      <c r="U9" s="56"/>
    </row>
    <row r="10" spans="1:21" ht="14.1" customHeight="1" x14ac:dyDescent="0.25">
      <c r="A10" s="2"/>
      <c r="B10" s="4" t="s">
        <v>2</v>
      </c>
      <c r="C10" s="8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58" t="s">
        <v>37</v>
      </c>
      <c r="Q10" s="56">
        <v>43857</v>
      </c>
      <c r="R10" s="56">
        <v>43863</v>
      </c>
      <c r="S10" s="58"/>
      <c r="T10" s="56"/>
      <c r="U10" s="56"/>
    </row>
    <row r="11" spans="1:21" ht="14.1" customHeight="1" x14ac:dyDescent="0.25">
      <c r="A11" s="2"/>
      <c r="B11" s="4"/>
      <c r="C11" s="49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58" t="s">
        <v>38</v>
      </c>
      <c r="Q11" s="56">
        <v>43864</v>
      </c>
      <c r="R11" s="56">
        <v>43870</v>
      </c>
      <c r="S11" s="58"/>
      <c r="T11" s="56"/>
      <c r="U11" s="56"/>
    </row>
    <row r="12" spans="1:21" ht="14.1" customHeight="1" x14ac:dyDescent="0.25">
      <c r="A12" s="2"/>
      <c r="B12" s="4" t="s">
        <v>18</v>
      </c>
      <c r="C12" s="8"/>
      <c r="E12" s="15"/>
      <c r="F12" s="15"/>
      <c r="G12" s="15"/>
      <c r="H12" s="15"/>
      <c r="I12" s="15"/>
      <c r="J12" s="15"/>
      <c r="K12" s="15"/>
      <c r="L12" s="15"/>
      <c r="M12" s="15"/>
      <c r="P12" s="58" t="s">
        <v>39</v>
      </c>
      <c r="Q12" s="56">
        <v>43871</v>
      </c>
      <c r="R12" s="56">
        <v>43877</v>
      </c>
    </row>
    <row r="13" spans="1:21" ht="14.1" customHeight="1" x14ac:dyDescent="0.25">
      <c r="A13" s="2"/>
      <c r="B13" s="4"/>
      <c r="C13" s="49"/>
      <c r="E13" s="15"/>
      <c r="F13" s="15"/>
      <c r="G13" s="15"/>
      <c r="H13" s="15"/>
      <c r="I13" s="15"/>
      <c r="J13" s="15"/>
      <c r="K13" s="15"/>
      <c r="L13" s="15"/>
      <c r="M13" s="15"/>
      <c r="P13" s="58" t="s">
        <v>40</v>
      </c>
      <c r="Q13" s="56">
        <v>43878</v>
      </c>
      <c r="R13" s="56">
        <v>43884</v>
      </c>
    </row>
    <row r="14" spans="1:21" ht="14.1" customHeight="1" x14ac:dyDescent="0.25">
      <c r="A14" s="2"/>
      <c r="B14" s="34" t="s">
        <v>3</v>
      </c>
      <c r="C14" s="8"/>
      <c r="E14" s="15"/>
      <c r="F14" s="15"/>
      <c r="G14" s="15"/>
      <c r="H14" s="15"/>
      <c r="I14" s="15"/>
      <c r="J14" s="15"/>
      <c r="K14" s="15"/>
      <c r="L14" s="15"/>
      <c r="M14" s="15"/>
      <c r="P14" s="58" t="s">
        <v>41</v>
      </c>
      <c r="Q14" s="56">
        <v>43885</v>
      </c>
      <c r="R14" s="56">
        <v>43891</v>
      </c>
    </row>
    <row r="15" spans="1:21" ht="14.1" customHeight="1" x14ac:dyDescent="0.25">
      <c r="A15" s="2"/>
      <c r="B15" s="4"/>
      <c r="C15" s="49"/>
      <c r="E15" s="15"/>
      <c r="F15" s="15"/>
      <c r="G15" s="15"/>
      <c r="H15" s="15"/>
      <c r="I15" s="15"/>
      <c r="J15" s="15"/>
      <c r="K15" s="15"/>
      <c r="L15" s="15"/>
      <c r="M15" s="15"/>
      <c r="P15" s="58" t="s">
        <v>42</v>
      </c>
      <c r="Q15" s="56">
        <v>43892</v>
      </c>
      <c r="R15" s="56">
        <v>43898</v>
      </c>
    </row>
    <row r="16" spans="1:21" ht="14.1" customHeight="1" x14ac:dyDescent="0.25">
      <c r="A16" s="2"/>
      <c r="B16" s="2"/>
      <c r="C16" s="59"/>
      <c r="E16" s="15"/>
      <c r="F16" s="15"/>
      <c r="G16" s="15"/>
      <c r="H16" s="15"/>
      <c r="I16" s="15"/>
      <c r="J16" s="15"/>
      <c r="K16" s="15"/>
      <c r="L16" s="15"/>
      <c r="M16" s="15"/>
      <c r="P16" s="58" t="s">
        <v>43</v>
      </c>
      <c r="Q16" s="56">
        <v>43899</v>
      </c>
      <c r="R16" s="56">
        <v>43905</v>
      </c>
    </row>
    <row r="17" spans="1:18" ht="14.1" customHeight="1" x14ac:dyDescent="0.25">
      <c r="A17" s="2"/>
      <c r="B17" s="4"/>
      <c r="C17" s="60"/>
      <c r="E17" s="15"/>
      <c r="F17" s="15"/>
      <c r="G17" s="15"/>
      <c r="H17" s="15"/>
      <c r="I17" s="15"/>
      <c r="J17" s="15"/>
      <c r="K17" s="15"/>
      <c r="L17" s="15"/>
      <c r="M17" s="15"/>
      <c r="P17" s="58" t="s">
        <v>44</v>
      </c>
      <c r="Q17" s="56">
        <v>43906</v>
      </c>
      <c r="R17" s="56">
        <v>43912</v>
      </c>
    </row>
    <row r="18" spans="1:18" ht="14.1" customHeight="1" x14ac:dyDescent="0.25">
      <c r="A18" s="2"/>
      <c r="B18" s="4"/>
      <c r="C18" s="60"/>
      <c r="E18" s="15"/>
      <c r="F18" s="15"/>
      <c r="G18" s="15"/>
      <c r="H18" s="15"/>
      <c r="I18" s="15"/>
      <c r="J18" s="15"/>
      <c r="K18" s="15"/>
      <c r="L18" s="15"/>
      <c r="M18" s="15"/>
      <c r="P18" s="58" t="s">
        <v>45</v>
      </c>
      <c r="Q18" s="56">
        <v>43913</v>
      </c>
      <c r="R18" s="56">
        <v>43919</v>
      </c>
    </row>
    <row r="19" spans="1:18" ht="14.1" customHeight="1" x14ac:dyDescent="0.25">
      <c r="A19" s="2"/>
      <c r="B19" s="4"/>
      <c r="C19" s="60"/>
      <c r="E19" s="15"/>
      <c r="F19" s="15"/>
      <c r="G19" s="15"/>
      <c r="H19" s="15"/>
      <c r="I19" s="15"/>
      <c r="J19" s="15"/>
      <c r="K19" s="15"/>
      <c r="L19" s="15"/>
      <c r="M19" s="15"/>
      <c r="P19" s="58" t="s">
        <v>46</v>
      </c>
      <c r="Q19" s="56">
        <v>43920</v>
      </c>
      <c r="R19" s="56">
        <v>43926</v>
      </c>
    </row>
    <row r="20" spans="1:18" ht="14.1" customHeight="1" x14ac:dyDescent="0.25">
      <c r="A20" s="2"/>
      <c r="B20" s="4"/>
      <c r="C20" s="61"/>
      <c r="E20" s="15"/>
      <c r="F20" s="15"/>
      <c r="G20" s="15"/>
      <c r="H20" s="15"/>
      <c r="I20" s="15"/>
      <c r="J20" s="15"/>
      <c r="K20" s="15"/>
      <c r="L20" s="15"/>
      <c r="M20" s="15"/>
      <c r="P20" s="58" t="s">
        <v>47</v>
      </c>
      <c r="Q20" s="56">
        <v>43927</v>
      </c>
      <c r="R20" s="56">
        <v>43933</v>
      </c>
    </row>
    <row r="21" spans="1:18" ht="14.1" customHeight="1" x14ac:dyDescent="0.25">
      <c r="A21" s="2"/>
      <c r="B21" s="4"/>
      <c r="C21" s="49"/>
      <c r="D21" s="17"/>
      <c r="E21" s="15"/>
      <c r="F21" s="15"/>
      <c r="G21" s="15"/>
      <c r="H21" s="15"/>
      <c r="I21" s="15"/>
      <c r="J21" s="15"/>
      <c r="K21" s="15"/>
      <c r="L21" s="15"/>
      <c r="M21" s="15"/>
      <c r="P21" s="58" t="s">
        <v>48</v>
      </c>
      <c r="Q21" s="56">
        <v>43934</v>
      </c>
      <c r="R21" s="56">
        <v>43940</v>
      </c>
    </row>
    <row r="22" spans="1:18" ht="14.1" customHeight="1" x14ac:dyDescent="0.25">
      <c r="A22" s="3"/>
      <c r="B22" s="5"/>
      <c r="D22" s="2"/>
      <c r="E22" s="15"/>
      <c r="F22" s="15"/>
      <c r="G22" s="15"/>
      <c r="H22" s="15"/>
      <c r="I22" s="15"/>
      <c r="J22" s="15"/>
      <c r="K22" s="15"/>
      <c r="L22" s="15"/>
      <c r="M22" s="15"/>
      <c r="P22" s="58" t="s">
        <v>49</v>
      </c>
      <c r="Q22" s="56">
        <v>43941</v>
      </c>
      <c r="R22" s="56">
        <v>43947</v>
      </c>
    </row>
    <row r="23" spans="1:18" ht="14.1" customHeight="1" x14ac:dyDescent="0.25">
      <c r="A23" s="3"/>
      <c r="B23" s="2"/>
      <c r="C23" s="49"/>
      <c r="D23" s="2"/>
      <c r="E23" s="15"/>
      <c r="F23" s="15"/>
      <c r="G23" s="15"/>
      <c r="H23" s="15"/>
      <c r="I23" s="15"/>
      <c r="J23" s="15"/>
      <c r="K23" s="15"/>
      <c r="L23" s="15"/>
      <c r="M23" s="15"/>
      <c r="P23" s="58" t="s">
        <v>50</v>
      </c>
      <c r="Q23" s="56">
        <v>43948</v>
      </c>
      <c r="R23" s="56">
        <v>43954</v>
      </c>
    </row>
    <row r="24" spans="1:18" s="16" customFormat="1" ht="14.1" customHeight="1" x14ac:dyDescent="0.25">
      <c r="A24" s="37"/>
      <c r="B24" s="17"/>
      <c r="C24" s="51"/>
      <c r="D24" s="7"/>
      <c r="E24" s="15"/>
      <c r="F24" s="15"/>
      <c r="G24" s="15"/>
      <c r="H24" s="15"/>
      <c r="I24" s="15"/>
      <c r="J24" s="15"/>
      <c r="K24" s="15"/>
      <c r="L24" s="15"/>
      <c r="M24" s="15"/>
      <c r="P24" s="58" t="s">
        <v>51</v>
      </c>
      <c r="Q24" s="56">
        <v>43955</v>
      </c>
      <c r="R24" s="56">
        <v>43961</v>
      </c>
    </row>
    <row r="25" spans="1:18" ht="14.1" customHeight="1" x14ac:dyDescent="0.25">
      <c r="A25" s="9"/>
      <c r="B25" s="2"/>
      <c r="C25" s="49"/>
      <c r="D25" s="6"/>
      <c r="E25" s="11"/>
      <c r="F25" s="11"/>
      <c r="G25" s="11"/>
      <c r="H25" s="11"/>
      <c r="I25" s="11"/>
      <c r="J25" s="11"/>
      <c r="K25" s="11"/>
      <c r="L25" s="11"/>
      <c r="P25" s="58" t="s">
        <v>52</v>
      </c>
      <c r="Q25" s="56">
        <v>43962</v>
      </c>
      <c r="R25" s="56">
        <v>43968</v>
      </c>
    </row>
    <row r="26" spans="1:18" ht="14.1" customHeight="1" x14ac:dyDescent="0.25">
      <c r="A26" s="10"/>
      <c r="B26" s="2"/>
      <c r="C26" s="49"/>
      <c r="E26" s="11"/>
      <c r="F26" s="11"/>
      <c r="G26" s="11"/>
      <c r="H26" s="11"/>
      <c r="I26" s="11"/>
      <c r="J26" s="11"/>
      <c r="K26" s="11"/>
      <c r="L26" s="11"/>
      <c r="P26" s="58" t="s">
        <v>53</v>
      </c>
      <c r="Q26" s="56">
        <v>43969</v>
      </c>
      <c r="R26" s="56">
        <v>43975</v>
      </c>
    </row>
    <row r="27" spans="1:18" x14ac:dyDescent="0.25">
      <c r="E27" s="11"/>
      <c r="F27" s="11"/>
      <c r="G27" s="11"/>
      <c r="H27" s="11"/>
      <c r="I27" s="11"/>
      <c r="J27" s="11"/>
      <c r="K27" s="11"/>
      <c r="L27" s="11"/>
      <c r="P27" s="58" t="s">
        <v>54</v>
      </c>
      <c r="Q27" s="56">
        <v>43976</v>
      </c>
      <c r="R27" s="56">
        <v>43982</v>
      </c>
    </row>
    <row r="28" spans="1:18" x14ac:dyDescent="0.25">
      <c r="A28" s="33"/>
      <c r="B28" s="6"/>
      <c r="E28" s="11"/>
      <c r="F28" s="11"/>
      <c r="G28" s="11"/>
      <c r="H28" s="11"/>
      <c r="I28" s="11"/>
      <c r="J28" s="11"/>
      <c r="K28" s="11"/>
      <c r="L28" s="11"/>
      <c r="P28" s="58" t="s">
        <v>55</v>
      </c>
      <c r="Q28" s="56">
        <v>43983</v>
      </c>
      <c r="R28" s="56">
        <v>43989</v>
      </c>
    </row>
    <row r="29" spans="1:18" x14ac:dyDescent="0.25">
      <c r="E29" s="11"/>
      <c r="F29" s="11"/>
      <c r="G29" s="11"/>
      <c r="H29" s="11"/>
      <c r="I29" s="11"/>
      <c r="J29" s="11"/>
      <c r="K29" s="11"/>
      <c r="L29" s="11"/>
      <c r="P29" s="58" t="s">
        <v>56</v>
      </c>
      <c r="Q29" s="56">
        <v>43990</v>
      </c>
      <c r="R29" s="56">
        <v>43996</v>
      </c>
    </row>
    <row r="30" spans="1:18" x14ac:dyDescent="0.25">
      <c r="E30" s="11"/>
      <c r="F30" s="11"/>
      <c r="G30" s="11"/>
      <c r="H30" s="11"/>
      <c r="I30" s="11"/>
      <c r="J30" s="11"/>
      <c r="K30" s="11"/>
      <c r="L30" s="11"/>
      <c r="P30" s="58" t="s">
        <v>57</v>
      </c>
      <c r="Q30" s="56">
        <v>43997</v>
      </c>
      <c r="R30" s="56">
        <v>44003</v>
      </c>
    </row>
    <row r="31" spans="1:18" x14ac:dyDescent="0.25">
      <c r="E31" s="11"/>
      <c r="F31" s="11"/>
      <c r="G31" s="11"/>
      <c r="H31" s="11"/>
      <c r="I31" s="11"/>
      <c r="J31" s="11"/>
      <c r="K31" s="11"/>
      <c r="L31" s="11"/>
      <c r="P31" s="58" t="s">
        <v>58</v>
      </c>
      <c r="Q31" s="56">
        <v>44004</v>
      </c>
      <c r="R31" s="56">
        <v>44010</v>
      </c>
    </row>
    <row r="32" spans="1:18" x14ac:dyDescent="0.25">
      <c r="E32" s="11"/>
      <c r="F32" s="11"/>
      <c r="G32" s="11"/>
      <c r="H32" s="11"/>
      <c r="I32" s="11"/>
      <c r="J32" s="11"/>
      <c r="K32" s="11"/>
      <c r="L32" s="11"/>
      <c r="P32" s="58" t="s">
        <v>59</v>
      </c>
      <c r="Q32" s="56">
        <v>44011</v>
      </c>
      <c r="R32" s="56">
        <v>44017</v>
      </c>
    </row>
    <row r="33" spans="3:18" s="7" customFormat="1" x14ac:dyDescent="0.25">
      <c r="C33" s="50"/>
      <c r="E33" s="11"/>
      <c r="F33" s="11"/>
      <c r="G33" s="11"/>
      <c r="H33" s="11"/>
      <c r="I33" s="11"/>
      <c r="J33" s="11"/>
      <c r="K33" s="11"/>
      <c r="L33" s="11"/>
      <c r="P33" s="58" t="s">
        <v>60</v>
      </c>
      <c r="Q33" s="56">
        <v>44018</v>
      </c>
      <c r="R33" s="56">
        <v>44024</v>
      </c>
    </row>
    <row r="34" spans="3:18" s="7" customFormat="1" x14ac:dyDescent="0.25">
      <c r="C34" s="50"/>
      <c r="E34" s="11"/>
      <c r="F34" s="11"/>
      <c r="G34" s="11"/>
      <c r="H34" s="11"/>
      <c r="I34" s="11"/>
      <c r="J34" s="11"/>
      <c r="K34" s="11"/>
      <c r="L34" s="11"/>
      <c r="P34" s="58" t="s">
        <v>61</v>
      </c>
      <c r="Q34" s="56">
        <v>44025</v>
      </c>
      <c r="R34" s="56">
        <v>44031</v>
      </c>
    </row>
    <row r="35" spans="3:18" s="7" customFormat="1" x14ac:dyDescent="0.25">
      <c r="C35" s="50"/>
      <c r="E35" s="11"/>
      <c r="F35" s="11"/>
      <c r="G35" s="11"/>
      <c r="H35" s="11"/>
      <c r="I35" s="11"/>
      <c r="J35" s="11"/>
      <c r="K35" s="11"/>
      <c r="L35" s="11"/>
      <c r="P35" s="58" t="s">
        <v>62</v>
      </c>
      <c r="Q35" s="56">
        <v>44032</v>
      </c>
      <c r="R35" s="56">
        <v>44038</v>
      </c>
    </row>
    <row r="36" spans="3:18" s="7" customFormat="1" x14ac:dyDescent="0.25">
      <c r="C36" s="50"/>
      <c r="E36" s="11"/>
      <c r="F36" s="11"/>
      <c r="G36" s="11"/>
      <c r="H36" s="11"/>
      <c r="I36" s="11"/>
      <c r="J36" s="11"/>
      <c r="K36" s="11"/>
      <c r="L36" s="11"/>
      <c r="P36" s="58" t="s">
        <v>63</v>
      </c>
      <c r="Q36" s="56">
        <v>44039</v>
      </c>
      <c r="R36" s="56">
        <v>44045</v>
      </c>
    </row>
    <row r="37" spans="3:18" s="7" customFormat="1" x14ac:dyDescent="0.25">
      <c r="C37" s="50"/>
      <c r="E37" s="11"/>
      <c r="F37" s="11"/>
      <c r="G37" s="11"/>
      <c r="H37" s="11"/>
      <c r="I37" s="11"/>
      <c r="J37" s="11"/>
      <c r="K37" s="11"/>
      <c r="L37" s="11"/>
      <c r="P37" s="58" t="s">
        <v>64</v>
      </c>
      <c r="Q37" s="56">
        <v>44046</v>
      </c>
      <c r="R37" s="56">
        <v>44052</v>
      </c>
    </row>
    <row r="38" spans="3:18" s="7" customFormat="1" x14ac:dyDescent="0.25">
      <c r="C38" s="50"/>
      <c r="E38" s="11"/>
      <c r="F38" s="11"/>
      <c r="G38" s="11"/>
      <c r="H38" s="11"/>
      <c r="I38" s="11"/>
      <c r="J38" s="11"/>
      <c r="K38" s="11"/>
      <c r="L38" s="11"/>
      <c r="P38" s="58" t="s">
        <v>65</v>
      </c>
      <c r="Q38" s="56">
        <v>44053</v>
      </c>
      <c r="R38" s="56">
        <v>44059</v>
      </c>
    </row>
    <row r="39" spans="3:18" s="7" customFormat="1" x14ac:dyDescent="0.25">
      <c r="C39" s="50"/>
      <c r="E39" s="11"/>
      <c r="F39" s="11"/>
      <c r="G39" s="11"/>
      <c r="H39" s="11"/>
      <c r="I39" s="11"/>
      <c r="J39" s="11"/>
      <c r="K39" s="11"/>
      <c r="L39" s="11"/>
      <c r="P39" s="58" t="s">
        <v>66</v>
      </c>
      <c r="Q39" s="56">
        <v>44060</v>
      </c>
      <c r="R39" s="56">
        <v>44066</v>
      </c>
    </row>
    <row r="40" spans="3:18" s="7" customFormat="1" x14ac:dyDescent="0.25">
      <c r="C40" s="50"/>
      <c r="E40" s="11"/>
      <c r="F40" s="11"/>
      <c r="G40" s="11"/>
      <c r="H40" s="11"/>
      <c r="I40" s="11"/>
      <c r="J40" s="11"/>
      <c r="K40" s="11"/>
      <c r="L40" s="11"/>
      <c r="P40" s="58" t="s">
        <v>67</v>
      </c>
      <c r="Q40" s="56">
        <v>44067</v>
      </c>
      <c r="R40" s="56">
        <v>44073</v>
      </c>
    </row>
    <row r="41" spans="3:18" s="7" customFormat="1" x14ac:dyDescent="0.25">
      <c r="C41" s="50"/>
      <c r="E41" s="11"/>
      <c r="F41" s="11"/>
      <c r="G41" s="11"/>
      <c r="H41" s="11"/>
      <c r="I41" s="11"/>
      <c r="J41" s="11"/>
      <c r="K41" s="11"/>
      <c r="L41" s="11"/>
      <c r="P41" s="58" t="s">
        <v>68</v>
      </c>
      <c r="Q41" s="56">
        <v>44074</v>
      </c>
      <c r="R41" s="56">
        <v>44080</v>
      </c>
    </row>
    <row r="42" spans="3:18" s="7" customFormat="1" x14ac:dyDescent="0.25">
      <c r="C42" s="50"/>
      <c r="E42" s="11"/>
      <c r="F42" s="11"/>
      <c r="G42" s="11"/>
      <c r="H42" s="11"/>
      <c r="I42" s="11"/>
      <c r="J42" s="11"/>
      <c r="K42" s="11"/>
      <c r="L42" s="11"/>
      <c r="P42" s="58" t="s">
        <v>69</v>
      </c>
      <c r="Q42" s="56">
        <v>44081</v>
      </c>
      <c r="R42" s="56">
        <v>44087</v>
      </c>
    </row>
    <row r="43" spans="3:18" s="7" customFormat="1" x14ac:dyDescent="0.25">
      <c r="C43" s="50"/>
      <c r="E43" s="11"/>
      <c r="F43" s="11"/>
      <c r="G43" s="11"/>
      <c r="H43" s="11"/>
      <c r="I43" s="11"/>
      <c r="J43" s="11"/>
      <c r="K43" s="11"/>
      <c r="L43" s="11"/>
      <c r="P43" s="58" t="s">
        <v>70</v>
      </c>
      <c r="Q43" s="56">
        <v>44088</v>
      </c>
      <c r="R43" s="56">
        <v>44094</v>
      </c>
    </row>
    <row r="44" spans="3:18" s="7" customFormat="1" x14ac:dyDescent="0.25">
      <c r="C44" s="50"/>
      <c r="E44" s="11"/>
      <c r="F44" s="11"/>
      <c r="G44" s="11"/>
      <c r="H44" s="11"/>
      <c r="I44" s="11"/>
      <c r="J44" s="11"/>
      <c r="K44" s="11"/>
      <c r="L44" s="11"/>
      <c r="P44" s="58" t="s">
        <v>71</v>
      </c>
      <c r="Q44" s="56">
        <v>44095</v>
      </c>
      <c r="R44" s="56">
        <v>44101</v>
      </c>
    </row>
    <row r="45" spans="3:18" s="7" customFormat="1" x14ac:dyDescent="0.25">
      <c r="C45" s="50"/>
      <c r="E45" s="11"/>
      <c r="F45" s="11"/>
      <c r="G45" s="11"/>
      <c r="H45" s="11"/>
      <c r="I45" s="11"/>
      <c r="J45" s="11"/>
      <c r="K45" s="11"/>
      <c r="L45" s="11"/>
      <c r="P45" s="58" t="s">
        <v>72</v>
      </c>
      <c r="Q45" s="56">
        <v>44102</v>
      </c>
      <c r="R45" s="56">
        <v>44108</v>
      </c>
    </row>
    <row r="46" spans="3:18" x14ac:dyDescent="0.25">
      <c r="P46" s="58" t="s">
        <v>73</v>
      </c>
      <c r="Q46" s="56">
        <v>44109</v>
      </c>
      <c r="R46" s="56">
        <v>44115</v>
      </c>
    </row>
    <row r="47" spans="3:18" x14ac:dyDescent="0.25">
      <c r="P47" s="58" t="s">
        <v>74</v>
      </c>
      <c r="Q47" s="56">
        <v>44116</v>
      </c>
      <c r="R47" s="56">
        <v>44122</v>
      </c>
    </row>
    <row r="48" spans="3:18" x14ac:dyDescent="0.25">
      <c r="P48" s="58" t="s">
        <v>75</v>
      </c>
      <c r="Q48" s="56">
        <v>44123</v>
      </c>
      <c r="R48" s="56">
        <v>44129</v>
      </c>
    </row>
    <row r="49" spans="16:18" x14ac:dyDescent="0.25">
      <c r="P49" s="58" t="s">
        <v>76</v>
      </c>
      <c r="Q49" s="56">
        <v>44130</v>
      </c>
      <c r="R49" s="56">
        <v>44136</v>
      </c>
    </row>
    <row r="50" spans="16:18" x14ac:dyDescent="0.25">
      <c r="P50" s="58" t="s">
        <v>77</v>
      </c>
      <c r="Q50" s="56">
        <v>44137</v>
      </c>
      <c r="R50" s="56">
        <v>44143</v>
      </c>
    </row>
    <row r="51" spans="16:18" x14ac:dyDescent="0.25">
      <c r="P51" s="58" t="s">
        <v>78</v>
      </c>
      <c r="Q51" s="56">
        <v>44144</v>
      </c>
      <c r="R51" s="56">
        <v>44150</v>
      </c>
    </row>
    <row r="52" spans="16:18" x14ac:dyDescent="0.25">
      <c r="P52" s="58" t="s">
        <v>79</v>
      </c>
      <c r="Q52" s="56">
        <v>44151</v>
      </c>
      <c r="R52" s="56">
        <v>44157</v>
      </c>
    </row>
    <row r="53" spans="16:18" x14ac:dyDescent="0.25">
      <c r="P53" s="58" t="s">
        <v>80</v>
      </c>
      <c r="Q53" s="56">
        <v>44158</v>
      </c>
      <c r="R53" s="56">
        <v>44164</v>
      </c>
    </row>
    <row r="54" spans="16:18" x14ac:dyDescent="0.25">
      <c r="P54" s="58" t="s">
        <v>81</v>
      </c>
      <c r="Q54" s="56">
        <v>44165</v>
      </c>
      <c r="R54" s="56">
        <v>44171</v>
      </c>
    </row>
    <row r="55" spans="16:18" x14ac:dyDescent="0.25">
      <c r="P55" s="58" t="s">
        <v>82</v>
      </c>
      <c r="Q55" s="56">
        <v>44172</v>
      </c>
      <c r="R55" s="56">
        <v>44178</v>
      </c>
    </row>
    <row r="56" spans="16:18" x14ac:dyDescent="0.25">
      <c r="P56" s="58" t="s">
        <v>83</v>
      </c>
      <c r="Q56" s="56">
        <v>44179</v>
      </c>
      <c r="R56" s="56">
        <v>44185</v>
      </c>
    </row>
    <row r="57" spans="16:18" x14ac:dyDescent="0.25">
      <c r="P57" s="58" t="s">
        <v>84</v>
      </c>
      <c r="Q57" s="56">
        <v>44186</v>
      </c>
      <c r="R57" s="56">
        <v>44192</v>
      </c>
    </row>
    <row r="58" spans="16:18" x14ac:dyDescent="0.25">
      <c r="P58" s="58" t="s">
        <v>85</v>
      </c>
      <c r="Q58" s="56">
        <v>44193</v>
      </c>
      <c r="R58" s="56">
        <v>44199</v>
      </c>
    </row>
    <row r="59" spans="16:18" x14ac:dyDescent="0.25">
      <c r="P59" s="57" t="s">
        <v>86</v>
      </c>
      <c r="Q59" s="55">
        <v>44200</v>
      </c>
      <c r="R59" s="55">
        <v>44206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6568310D-4985-44D7-8B80-790A16C95296}" showGridLines="0" printArea="1">
      <selection activeCell="B5" sqref="B5:E5"/>
      <pageMargins left="0.25" right="0.25" top="0.75" bottom="0.75" header="0.3" footer="0.3"/>
      <printOptions horizontalCentered="1" verticalCentered="1"/>
      <pageSetup paperSize="9" scale="85" orientation="landscape" r:id="rId1"/>
    </customSheetView>
  </customSheetViews>
  <mergeCells count="5">
    <mergeCell ref="C16:C20"/>
    <mergeCell ref="A4:D4"/>
    <mergeCell ref="A1:B2"/>
    <mergeCell ref="C1:D1"/>
    <mergeCell ref="C2:D2"/>
  </mergeCells>
  <printOptions horizontalCentered="1" verticalCentered="1"/>
  <pageMargins left="0.25" right="0.25" top="0.75" bottom="0.75" header="0.3" footer="0.3"/>
  <pageSetup paperSize="9" scale="8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hisWorkbook.semaine" altText="VALIDER POUR CREER VOS FDT">
                <anchor moveWithCells="1" sizeWithCells="1">
                  <from>
                    <xdr:col>0</xdr:col>
                    <xdr:colOff>161925</xdr:colOff>
                    <xdr:row>20</xdr:row>
                    <xdr:rowOff>28575</xdr:rowOff>
                  </from>
                  <to>
                    <xdr:col>3</xdr:col>
                    <xdr:colOff>1552575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ThisWorkbook.Signature" altText="Signature">
                <anchor moveWithCells="1" sizeWithCells="1">
                  <from>
                    <xdr:col>0</xdr:col>
                    <xdr:colOff>1562100</xdr:colOff>
                    <xdr:row>14</xdr:row>
                    <xdr:rowOff>171450</xdr:rowOff>
                  </from>
                  <to>
                    <xdr:col>1</xdr:col>
                    <xdr:colOff>1457325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M39"/>
  <sheetViews>
    <sheetView showGridLines="0" view="pageBreakPreview" zoomScaleNormal="100" zoomScaleSheetLayoutView="100" workbookViewId="0">
      <selection activeCell="C13" sqref="C13:D13"/>
    </sheetView>
  </sheetViews>
  <sheetFormatPr baseColWidth="10" defaultColWidth="11.42578125" defaultRowHeight="15" x14ac:dyDescent="0.25"/>
  <cols>
    <col min="1" max="1" width="14.5703125" customWidth="1"/>
    <col min="2" max="2" width="12" customWidth="1"/>
    <col min="3" max="3" width="16.5703125" customWidth="1"/>
    <col min="4" max="4" width="18.42578125" customWidth="1"/>
    <col min="5" max="5" width="6.7109375" customWidth="1"/>
    <col min="6" max="6" width="18.7109375" customWidth="1"/>
    <col min="7" max="7" width="17" customWidth="1"/>
    <col min="8" max="8" width="44.85546875" style="14" customWidth="1"/>
  </cols>
  <sheetData>
    <row r="1" spans="1:13" ht="20.25" customHeight="1" x14ac:dyDescent="0.3">
      <c r="A1" s="100"/>
      <c r="B1" s="101"/>
      <c r="C1" s="104" t="s">
        <v>0</v>
      </c>
      <c r="D1" s="105"/>
      <c r="E1" s="106"/>
      <c r="F1" s="12"/>
      <c r="G1" s="41" t="s">
        <v>1</v>
      </c>
      <c r="H1" s="43">
        <f>FDT!C8</f>
        <v>0</v>
      </c>
      <c r="I1" s="12"/>
      <c r="J1" s="12"/>
      <c r="K1" s="12"/>
      <c r="L1" s="12"/>
      <c r="M1" s="12"/>
    </row>
    <row r="2" spans="1:13" ht="20.25" customHeight="1" x14ac:dyDescent="0.3">
      <c r="A2" s="102"/>
      <c r="B2" s="103"/>
      <c r="C2" s="107" t="s">
        <v>27</v>
      </c>
      <c r="D2" s="108"/>
      <c r="E2" s="109"/>
      <c r="F2" s="12"/>
      <c r="G2" s="41" t="s">
        <v>25</v>
      </c>
      <c r="H2" s="43">
        <f>FDT!C10</f>
        <v>0</v>
      </c>
      <c r="I2" s="12"/>
      <c r="J2" s="12"/>
      <c r="K2" s="12"/>
      <c r="L2" s="12"/>
      <c r="M2" s="12"/>
    </row>
    <row r="3" spans="1:13" ht="12.75" customHeight="1" x14ac:dyDescent="0.25">
      <c r="A3" s="12"/>
      <c r="B3" s="12"/>
      <c r="C3" s="12"/>
      <c r="D3" s="12"/>
      <c r="E3" s="12"/>
      <c r="F3" s="12"/>
      <c r="G3" s="12"/>
      <c r="H3" s="44"/>
      <c r="I3" s="12"/>
      <c r="J3" s="12"/>
      <c r="K3" s="12"/>
      <c r="L3" s="12"/>
      <c r="M3" s="12"/>
    </row>
    <row r="4" spans="1:13" s="18" customFormat="1" ht="16.5" customHeight="1" x14ac:dyDescent="0.2">
      <c r="A4" s="39" t="s">
        <v>21</v>
      </c>
      <c r="B4" s="88">
        <v>1</v>
      </c>
      <c r="C4" s="88"/>
      <c r="D4" s="89"/>
      <c r="E4" s="12"/>
      <c r="F4" s="12"/>
      <c r="G4" s="42" t="s">
        <v>3</v>
      </c>
      <c r="H4" s="45">
        <f>FDT!C14</f>
        <v>0</v>
      </c>
      <c r="I4" s="12"/>
      <c r="J4" s="12"/>
      <c r="K4" s="12"/>
      <c r="L4" s="12"/>
      <c r="M4" s="12"/>
    </row>
    <row r="5" spans="1:13" s="18" customFormat="1" ht="17.25" customHeight="1" x14ac:dyDescent="0.2">
      <c r="A5" s="46" t="s">
        <v>24</v>
      </c>
      <c r="B5" s="32">
        <f>7*$B$4+DATE(FDT!$C$6,1,3)-WEEKDAY(DATE(FDT!$C$6,1,3))-5</f>
        <v>45656</v>
      </c>
      <c r="C5" s="52" t="s">
        <v>4</v>
      </c>
      <c r="D5" s="19">
        <f>B5+6</f>
        <v>45662</v>
      </c>
      <c r="E5" s="13"/>
      <c r="F5" s="13"/>
      <c r="G5" s="42" t="s">
        <v>18</v>
      </c>
      <c r="H5" s="45">
        <f>FDT!C12</f>
        <v>0</v>
      </c>
      <c r="I5" s="13"/>
      <c r="J5" s="13"/>
      <c r="K5" s="13"/>
      <c r="L5" s="13"/>
      <c r="M5" s="13"/>
    </row>
    <row r="6" spans="1:13" ht="12" customHeight="1" x14ac:dyDescent="0.25">
      <c r="A6" s="12"/>
      <c r="B6" s="12"/>
      <c r="C6" s="12"/>
      <c r="D6" s="12"/>
      <c r="E6" s="12"/>
      <c r="F6" s="12"/>
      <c r="G6" s="12"/>
      <c r="H6" s="44"/>
      <c r="I6" s="12"/>
      <c r="J6" s="12"/>
      <c r="K6" s="12"/>
      <c r="L6" s="12"/>
      <c r="M6" s="12"/>
    </row>
    <row r="7" spans="1:13" ht="12.75" customHeight="1" x14ac:dyDescent="0.25">
      <c r="A7" s="79" t="s">
        <v>5</v>
      </c>
      <c r="B7" s="79" t="s">
        <v>22</v>
      </c>
      <c r="C7" s="90" t="s">
        <v>87</v>
      </c>
      <c r="D7" s="83"/>
      <c r="E7" s="79" t="s">
        <v>6</v>
      </c>
      <c r="F7" s="82" t="s">
        <v>7</v>
      </c>
      <c r="G7" s="83"/>
      <c r="H7" s="84" t="s">
        <v>28</v>
      </c>
      <c r="I7" s="12"/>
      <c r="J7" s="12"/>
      <c r="K7" s="12"/>
      <c r="L7" s="12"/>
      <c r="M7" s="12"/>
    </row>
    <row r="8" spans="1:13" ht="12.75" customHeight="1" x14ac:dyDescent="0.25">
      <c r="A8" s="80"/>
      <c r="B8" s="80"/>
      <c r="C8" s="91"/>
      <c r="D8" s="92"/>
      <c r="E8" s="80"/>
      <c r="F8" s="85" t="s">
        <v>26</v>
      </c>
      <c r="G8" s="85"/>
      <c r="H8" s="80"/>
      <c r="I8" s="12"/>
      <c r="J8" s="12"/>
      <c r="K8" s="12"/>
      <c r="L8" s="12"/>
      <c r="M8" s="12"/>
    </row>
    <row r="9" spans="1:13" ht="12.75" customHeight="1" x14ac:dyDescent="0.25">
      <c r="A9" s="81"/>
      <c r="B9" s="81"/>
      <c r="C9" s="93"/>
      <c r="D9" s="94"/>
      <c r="E9" s="81"/>
      <c r="F9" s="21" t="s">
        <v>23</v>
      </c>
      <c r="G9" s="21" t="s">
        <v>17</v>
      </c>
      <c r="H9" s="81"/>
      <c r="I9" s="12"/>
      <c r="J9" s="12"/>
      <c r="K9" s="12"/>
      <c r="L9" s="12"/>
      <c r="M9" s="12"/>
    </row>
    <row r="10" spans="1:13" ht="14.1" customHeight="1" x14ac:dyDescent="0.25">
      <c r="A10" s="95" t="s">
        <v>8</v>
      </c>
      <c r="B10" s="22"/>
      <c r="C10" s="73"/>
      <c r="D10" s="74"/>
      <c r="E10" s="23"/>
      <c r="F10" s="24"/>
      <c r="G10" s="24"/>
      <c r="H10" s="24"/>
      <c r="I10" s="12"/>
      <c r="J10" s="12"/>
      <c r="K10" s="12"/>
      <c r="L10" s="12"/>
      <c r="M10" s="12"/>
    </row>
    <row r="11" spans="1:13" ht="14.1" customHeight="1" x14ac:dyDescent="0.25">
      <c r="A11" s="96"/>
      <c r="B11" s="25"/>
      <c r="C11" s="75"/>
      <c r="D11" s="76"/>
      <c r="E11" s="26"/>
      <c r="F11" s="25"/>
      <c r="G11" s="25"/>
      <c r="H11" s="25"/>
      <c r="I11" s="12"/>
      <c r="J11" s="12"/>
      <c r="K11" s="12"/>
      <c r="L11" s="12"/>
      <c r="M11" s="12"/>
    </row>
    <row r="12" spans="1:13" ht="14.1" customHeight="1" x14ac:dyDescent="0.25">
      <c r="A12" s="97">
        <f>B5+0</f>
        <v>45656</v>
      </c>
      <c r="B12" s="25"/>
      <c r="C12" s="75"/>
      <c r="D12" s="76"/>
      <c r="E12" s="26"/>
      <c r="F12" s="25"/>
      <c r="G12" s="25"/>
      <c r="H12" s="25"/>
      <c r="I12" s="12"/>
      <c r="J12" s="12"/>
      <c r="K12" s="12"/>
      <c r="L12" s="12"/>
      <c r="M12" s="12"/>
    </row>
    <row r="13" spans="1:13" ht="14.1" customHeight="1" x14ac:dyDescent="0.25">
      <c r="A13" s="98"/>
      <c r="B13" s="27"/>
      <c r="C13" s="77"/>
      <c r="D13" s="78"/>
      <c r="E13" s="28"/>
      <c r="F13" s="27"/>
      <c r="G13" s="27"/>
      <c r="H13" s="27"/>
      <c r="I13" s="12"/>
      <c r="J13" s="12"/>
      <c r="K13" s="12"/>
      <c r="L13" s="12"/>
      <c r="M13" s="12"/>
    </row>
    <row r="14" spans="1:13" ht="14.1" customHeight="1" x14ac:dyDescent="0.25">
      <c r="A14" s="86" t="s">
        <v>9</v>
      </c>
      <c r="B14" s="24"/>
      <c r="C14" s="73"/>
      <c r="D14" s="74"/>
      <c r="E14" s="23"/>
      <c r="F14" s="24"/>
      <c r="G14" s="24"/>
      <c r="H14" s="24"/>
      <c r="I14" s="12"/>
      <c r="J14" s="12"/>
      <c r="K14" s="12"/>
      <c r="L14" s="12"/>
      <c r="M14" s="12"/>
    </row>
    <row r="15" spans="1:13" ht="14.1" customHeight="1" x14ac:dyDescent="0.25">
      <c r="A15" s="87"/>
      <c r="B15" s="25"/>
      <c r="C15" s="75"/>
      <c r="D15" s="76"/>
      <c r="E15" s="26"/>
      <c r="F15" s="25"/>
      <c r="G15" s="25"/>
      <c r="H15" s="25"/>
      <c r="I15" s="12"/>
      <c r="J15" s="12"/>
      <c r="K15" s="12"/>
      <c r="L15" s="12"/>
      <c r="M15" s="12"/>
    </row>
    <row r="16" spans="1:13" ht="14.1" customHeight="1" x14ac:dyDescent="0.25">
      <c r="A16" s="97">
        <f>A12+1</f>
        <v>45657</v>
      </c>
      <c r="B16" s="25"/>
      <c r="C16" s="75"/>
      <c r="D16" s="76"/>
      <c r="E16" s="26"/>
      <c r="F16" s="25"/>
      <c r="G16" s="25"/>
      <c r="H16" s="25"/>
    </row>
    <row r="17" spans="1:13" ht="14.1" customHeight="1" x14ac:dyDescent="0.25">
      <c r="A17" s="99"/>
      <c r="B17" s="27"/>
      <c r="C17" s="77"/>
      <c r="D17" s="78"/>
      <c r="E17" s="28"/>
      <c r="F17" s="27"/>
      <c r="G17" s="27"/>
      <c r="H17" s="27"/>
    </row>
    <row r="18" spans="1:13" ht="14.1" customHeight="1" x14ac:dyDescent="0.25">
      <c r="A18" s="86" t="s">
        <v>10</v>
      </c>
      <c r="B18" s="24"/>
      <c r="C18" s="73"/>
      <c r="D18" s="74"/>
      <c r="E18" s="23"/>
      <c r="F18" s="24"/>
      <c r="G18" s="24"/>
      <c r="H18" s="24"/>
    </row>
    <row r="19" spans="1:13" ht="14.1" customHeight="1" x14ac:dyDescent="0.25">
      <c r="A19" s="87"/>
      <c r="B19" s="25"/>
      <c r="C19" s="75"/>
      <c r="D19" s="76"/>
      <c r="E19" s="26"/>
      <c r="F19" s="25"/>
      <c r="G19" s="25"/>
      <c r="H19" s="25"/>
    </row>
    <row r="20" spans="1:13" ht="14.1" customHeight="1" x14ac:dyDescent="0.25">
      <c r="A20" s="97">
        <f>A16+1</f>
        <v>45658</v>
      </c>
      <c r="B20" s="25"/>
      <c r="C20" s="75"/>
      <c r="D20" s="76"/>
      <c r="E20" s="26"/>
      <c r="F20" s="25"/>
      <c r="G20" s="25"/>
      <c r="H20" s="25"/>
    </row>
    <row r="21" spans="1:13" ht="14.1" customHeight="1" x14ac:dyDescent="0.25">
      <c r="A21" s="99"/>
      <c r="B21" s="27"/>
      <c r="C21" s="77"/>
      <c r="D21" s="78"/>
      <c r="E21" s="28"/>
      <c r="F21" s="27"/>
      <c r="G21" s="27"/>
      <c r="H21" s="27"/>
    </row>
    <row r="22" spans="1:13" ht="14.1" customHeight="1" x14ac:dyDescent="0.25">
      <c r="A22" s="86" t="s">
        <v>11</v>
      </c>
      <c r="B22" s="24"/>
      <c r="C22" s="73"/>
      <c r="D22" s="74"/>
      <c r="E22" s="23"/>
      <c r="F22" s="24"/>
      <c r="G22" s="24"/>
      <c r="H22" s="24"/>
    </row>
    <row r="23" spans="1:13" ht="14.1" customHeight="1" x14ac:dyDescent="0.25">
      <c r="A23" s="87"/>
      <c r="B23" s="25"/>
      <c r="C23" s="75"/>
      <c r="D23" s="76"/>
      <c r="E23" s="26"/>
      <c r="F23" s="25"/>
      <c r="G23" s="25"/>
      <c r="H23" s="29"/>
    </row>
    <row r="24" spans="1:13" ht="14.1" customHeight="1" x14ac:dyDescent="0.25">
      <c r="A24" s="97">
        <f>A20+1</f>
        <v>45659</v>
      </c>
      <c r="B24" s="25"/>
      <c r="C24" s="75"/>
      <c r="D24" s="76"/>
      <c r="E24" s="26"/>
      <c r="F24" s="25"/>
      <c r="G24" s="25"/>
      <c r="H24" s="29"/>
    </row>
    <row r="25" spans="1:13" ht="14.1" customHeight="1" x14ac:dyDescent="0.25">
      <c r="A25" s="99"/>
      <c r="B25" s="27"/>
      <c r="C25" s="77"/>
      <c r="D25" s="78"/>
      <c r="E25" s="28"/>
      <c r="F25" s="27"/>
      <c r="G25" s="27"/>
      <c r="H25" s="30"/>
    </row>
    <row r="26" spans="1:13" ht="14.1" customHeight="1" x14ac:dyDescent="0.25">
      <c r="A26" s="86" t="s">
        <v>12</v>
      </c>
      <c r="B26" s="24"/>
      <c r="C26" s="73"/>
      <c r="D26" s="74"/>
      <c r="E26" s="23"/>
      <c r="F26" s="24"/>
      <c r="G26" s="24"/>
      <c r="H26" s="24"/>
    </row>
    <row r="27" spans="1:13" ht="14.1" customHeight="1" x14ac:dyDescent="0.25">
      <c r="A27" s="87"/>
      <c r="B27" s="25"/>
      <c r="C27" s="75"/>
      <c r="D27" s="76"/>
      <c r="E27" s="26"/>
      <c r="F27" s="25"/>
      <c r="G27" s="25"/>
      <c r="H27" s="25"/>
    </row>
    <row r="28" spans="1:13" ht="14.1" customHeight="1" x14ac:dyDescent="0.25">
      <c r="A28" s="97">
        <f>A24+1</f>
        <v>45660</v>
      </c>
      <c r="B28" s="25"/>
      <c r="C28" s="75"/>
      <c r="D28" s="76"/>
      <c r="E28" s="26"/>
      <c r="F28" s="25"/>
      <c r="G28" s="25"/>
      <c r="H28" s="25"/>
    </row>
    <row r="29" spans="1:13" ht="14.1" customHeight="1" x14ac:dyDescent="0.25">
      <c r="A29" s="99"/>
      <c r="B29" s="27"/>
      <c r="C29" s="77"/>
      <c r="D29" s="78"/>
      <c r="E29" s="28"/>
      <c r="F29" s="27"/>
      <c r="G29" s="27"/>
      <c r="H29" s="27"/>
    </row>
    <row r="30" spans="1:13" ht="14.1" customHeight="1" x14ac:dyDescent="0.25">
      <c r="A30" s="86" t="s">
        <v>13</v>
      </c>
      <c r="B30" s="24"/>
      <c r="C30" s="73"/>
      <c r="D30" s="74"/>
      <c r="E30" s="23"/>
      <c r="F30" s="24"/>
      <c r="G30" s="24"/>
      <c r="H30" s="24"/>
      <c r="I30" s="12"/>
      <c r="J30" s="12"/>
      <c r="K30" s="12"/>
      <c r="L30" s="12"/>
      <c r="M30" s="12"/>
    </row>
    <row r="31" spans="1:13" ht="14.1" customHeight="1" x14ac:dyDescent="0.25">
      <c r="A31" s="87"/>
      <c r="B31" s="25"/>
      <c r="C31" s="75"/>
      <c r="D31" s="76"/>
      <c r="E31" s="26"/>
      <c r="F31" s="25"/>
      <c r="G31" s="25"/>
      <c r="H31" s="25"/>
      <c r="I31" s="12"/>
      <c r="J31" s="12"/>
      <c r="K31" s="12"/>
      <c r="L31" s="12"/>
      <c r="M31" s="12"/>
    </row>
    <row r="32" spans="1:13" ht="14.1" customHeight="1" x14ac:dyDescent="0.25">
      <c r="A32" s="97">
        <f>A28+1</f>
        <v>45661</v>
      </c>
      <c r="B32" s="25"/>
      <c r="C32" s="75"/>
      <c r="D32" s="76"/>
      <c r="E32" s="26"/>
      <c r="F32" s="25"/>
      <c r="G32" s="25"/>
      <c r="H32" s="25"/>
      <c r="I32" s="12"/>
      <c r="J32" s="12"/>
      <c r="K32" s="12"/>
      <c r="L32" s="12"/>
      <c r="M32" s="12"/>
    </row>
    <row r="33" spans="1:13" ht="14.1" customHeight="1" x14ac:dyDescent="0.25">
      <c r="A33" s="99"/>
      <c r="B33" s="27"/>
      <c r="C33" s="77"/>
      <c r="D33" s="78"/>
      <c r="E33" s="28"/>
      <c r="F33" s="27"/>
      <c r="G33" s="27"/>
      <c r="H33" s="27"/>
      <c r="I33" s="12"/>
      <c r="J33" s="12"/>
      <c r="K33" s="12"/>
      <c r="L33" s="12"/>
      <c r="M33" s="12"/>
    </row>
    <row r="34" spans="1:13" ht="14.1" customHeight="1" x14ac:dyDescent="0.25">
      <c r="A34" s="20" t="s">
        <v>14</v>
      </c>
      <c r="B34" s="20"/>
      <c r="C34" s="71"/>
      <c r="D34" s="72"/>
      <c r="E34" s="20">
        <f>SUM(E10:E33)</f>
        <v>0</v>
      </c>
      <c r="F34" s="31">
        <f>SUM(F10:F33)</f>
        <v>0</v>
      </c>
      <c r="G34" s="31">
        <f>SUM(G10:G33)</f>
        <v>0</v>
      </c>
      <c r="H34" s="20"/>
      <c r="I34" s="12"/>
      <c r="J34" s="12"/>
      <c r="K34" s="12"/>
      <c r="L34" s="12"/>
      <c r="M34" s="12"/>
    </row>
    <row r="35" spans="1:13" ht="15" customHeight="1" x14ac:dyDescent="0.25">
      <c r="C35" s="111"/>
      <c r="D35" s="111"/>
    </row>
    <row r="36" spans="1:13" ht="15" customHeight="1" x14ac:dyDescent="0.25">
      <c r="A36" s="40" t="s">
        <v>15</v>
      </c>
      <c r="B36" s="1"/>
      <c r="C36" s="111"/>
      <c r="D36" s="111"/>
      <c r="E36" s="1"/>
      <c r="F36" s="1"/>
      <c r="G36" s="110" t="s">
        <v>16</v>
      </c>
      <c r="H36" s="110"/>
      <c r="I36" s="1"/>
      <c r="J36" s="1"/>
      <c r="K36" s="1"/>
      <c r="L36" s="1"/>
      <c r="M36" s="1"/>
    </row>
    <row r="37" spans="1:13" ht="15" customHeight="1" x14ac:dyDescent="0.25">
      <c r="B37" s="14">
        <f>FDT!C14</f>
        <v>0</v>
      </c>
      <c r="C37" s="111"/>
      <c r="D37" s="111"/>
    </row>
    <row r="38" spans="1:13" x14ac:dyDescent="0.25">
      <c r="C38" s="111"/>
      <c r="D38" s="111"/>
    </row>
    <row r="39" spans="1:13" x14ac:dyDescent="0.25">
      <c r="C39" s="111"/>
      <c r="D39" s="111"/>
    </row>
  </sheetData>
  <sheetProtection formatCells="0" formatColumns="0" formatRows="0" insertColumns="0" insertRows="0" insertHyperlinks="0" deleteColumns="0" deleteRows="0" sort="0" autoFilter="0" pivotTables="0"/>
  <customSheetViews>
    <customSheetView guid="{6568310D-4985-44D7-8B80-790A16C95296}" showPageBreaks="1" printArea="1" view="pageBreakPreview">
      <selection activeCell="C1" sqref="C1:D1"/>
      <pageMargins left="0.25" right="0.25" top="0.75" bottom="0.75" header="0.3" footer="0.3"/>
      <printOptions horizontalCentered="1" verticalCentered="1"/>
      <pageSetup paperSize="9" scale="85" orientation="landscape" r:id="rId1"/>
    </customSheetView>
  </customSheetViews>
  <mergeCells count="50">
    <mergeCell ref="A1:B2"/>
    <mergeCell ref="C19:D19"/>
    <mergeCell ref="C1:E1"/>
    <mergeCell ref="C2:E2"/>
    <mergeCell ref="G36:H36"/>
    <mergeCell ref="C35:D39"/>
    <mergeCell ref="A30:A31"/>
    <mergeCell ref="A32:A33"/>
    <mergeCell ref="C11:D11"/>
    <mergeCell ref="C12:D12"/>
    <mergeCell ref="C13:D13"/>
    <mergeCell ref="A20:A21"/>
    <mergeCell ref="A22:A23"/>
    <mergeCell ref="A24:A25"/>
    <mergeCell ref="A26:A27"/>
    <mergeCell ref="A28:A29"/>
    <mergeCell ref="A18:A19"/>
    <mergeCell ref="B4:D4"/>
    <mergeCell ref="A7:A9"/>
    <mergeCell ref="B7:B9"/>
    <mergeCell ref="C7:D9"/>
    <mergeCell ref="A10:A11"/>
    <mergeCell ref="A12:A13"/>
    <mergeCell ref="A14:A15"/>
    <mergeCell ref="A16:A17"/>
    <mergeCell ref="E7:E9"/>
    <mergeCell ref="F7:G7"/>
    <mergeCell ref="H7:H9"/>
    <mergeCell ref="F8:G8"/>
    <mergeCell ref="C10:D10"/>
    <mergeCell ref="C20:D20"/>
    <mergeCell ref="C21:D21"/>
    <mergeCell ref="C14:D14"/>
    <mergeCell ref="C15:D15"/>
    <mergeCell ref="C16:D16"/>
    <mergeCell ref="C17:D17"/>
    <mergeCell ref="C18:D18"/>
    <mergeCell ref="C34:D34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</mergeCells>
  <printOptions horizontalCentered="1" verticalCentered="1"/>
  <pageMargins left="0.25" right="0.25" top="0.75" bottom="0.75" header="0.3" footer="0.3"/>
  <pageSetup paperSize="9" scale="8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FDT</vt:lpstr>
      <vt:lpstr>S00</vt:lpstr>
      <vt:lpstr>FDT!Zone_d_impression</vt:lpstr>
      <vt:lpstr>S00!Zone_d_impression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OMAFFICHAGE</dc:creator>
  <cp:lastModifiedBy>Johanna OULD</cp:lastModifiedBy>
  <cp:lastPrinted>2020-02-03T13:50:40Z</cp:lastPrinted>
  <dcterms:created xsi:type="dcterms:W3CDTF">2014-07-17T10:26:28Z</dcterms:created>
  <dcterms:modified xsi:type="dcterms:W3CDTF">2025-09-30T08:52:38Z</dcterms:modified>
</cp:coreProperties>
</file>